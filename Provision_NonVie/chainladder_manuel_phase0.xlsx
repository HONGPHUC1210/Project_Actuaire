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Triangle_Brut" sheetId="2" state="visible" r:id="rId4"/>
    <sheet name="Link_Ratios" sheetId="3" state="visible" r:id="rId5"/>
    <sheet name="Triangle_Complete" sheetId="4" state="visible" r:id="rId6"/>
    <sheet name="Ultimate_IBN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<sst xmlns="http://schemas.openxmlformats.org/spreadsheetml/2006/main" count="41" uniqueCount="39">
  <si>
    <t xml:space="preserve">README -- Chain-Ladder Manuel (Phase 0)</t>
  </si>
  <si>
    <t xml:space="preserve">Objet</t>
  </si>
  <si>
    <t xml:space="preserve">Calcul manuel (formules Excel) de la methode Chain-Ladder sur le triangle GenIns.</t>
  </si>
  <si>
    <t xml:space="preserve">Dataset</t>
  </si>
  <si>
    <t xml:space="preserve">GenIns (Taylor &amp; Ashe, 1983), sinistres payes cumules, General Liability. Source publique : package R 'ChainLadder' / chainladder-python.</t>
  </si>
  <si>
    <t xml:space="preserve">Hypothese cle</t>
  </si>
  <si>
    <t xml:space="preserve">Stabilite des cadences de developpement dans le temps : les link ratios ne dependent pas de l'accident year.</t>
  </si>
  <si>
    <t xml:space="preserve">Methode</t>
  </si>
  <si>
    <t xml:space="preserve">Link ratios volume-weighted (SUMPRODUCT sur periode commune) -&gt; projection en cascade -&gt; Ultimate = derniere colonne du triangle complete -&gt; IBNR = Ultimate - Paid to date.</t>
  </si>
  <si>
    <t xml:space="preserve">Onglets</t>
  </si>
  <si>
    <t xml:space="preserve">Triangle_Brut (donnees source) -&gt; Link_Ratios (formules) -&gt; Triangle_Complete (formules en cascade) -&gt; Ultimate_IBNR (synthese).</t>
  </si>
  <si>
    <t xml:space="preserve">Convention couleur</t>
  </si>
  <si>
    <t xml:space="preserve">Bleu = donnee source (hardcode) | Noir = formule calculee.</t>
  </si>
  <si>
    <t xml:space="preserve">Auteur</t>
  </si>
  <si>
    <t xml:space="preserve">Hong Phuc QUACH -- Aout 2026</t>
  </si>
  <si>
    <t xml:space="preserve">Triangle de sinistres payes cumules -- Dataset GenIns (Taylor &amp; Ashe, 1983)</t>
  </si>
  <si>
    <t xml:space="preserve">Source : package R 'ChainLadder' / chainladder-python (cl.load_sample('genins'))</t>
  </si>
  <si>
    <t xml:space="preserve">Accident Year</t>
  </si>
  <si>
    <t xml:space="preserve">Link Ratios (Development Factors) -- Volume Weighted Average</t>
  </si>
  <si>
    <t xml:space="preserve">f_j = SUM(colonne j+1, periode commune) / SUM(colonne j, periode commune)</t>
  </si>
  <si>
    <t xml:space="preserve">Transition</t>
  </si>
  <si>
    <t xml:space="preserve">Link Ratio (f_j)</t>
  </si>
  <si>
    <t xml:space="preserve">12 -&gt; 24</t>
  </si>
  <si>
    <t xml:space="preserve">24 -&gt; 36</t>
  </si>
  <si>
    <t xml:space="preserve">36 -&gt; 48</t>
  </si>
  <si>
    <t xml:space="preserve">48 -&gt; 60</t>
  </si>
  <si>
    <t xml:space="preserve">60 -&gt; 72</t>
  </si>
  <si>
    <t xml:space="preserve">72 -&gt; 84</t>
  </si>
  <si>
    <t xml:space="preserve">84 -&gt; 96</t>
  </si>
  <si>
    <t xml:space="preserve">96 -&gt; 108</t>
  </si>
  <si>
    <t xml:space="preserve">108 -&gt; 120</t>
  </si>
  <si>
    <t xml:space="preserve">Triangle Complete -- Projection via Link Ratios en cascade</t>
  </si>
  <si>
    <t xml:space="preserve">Cellule observee = valeur brute (bleu) | Cellule projetee = precedente x link ratio (noir)</t>
  </si>
  <si>
    <t xml:space="preserve">Synthese -- Ultimate et IBNR par Accident Year (methode Chain-Ladder)</t>
  </si>
  <si>
    <t xml:space="preserve">Paid to date = derniere valeur observee du triangle brut (LOOKUP ignore les cellules vides)</t>
  </si>
  <si>
    <t xml:space="preserve">Paid to Date</t>
  </si>
  <si>
    <t xml:space="preserve">Ultimate (CL)</t>
  </si>
  <si>
    <t xml:space="preserve">IBNR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</si>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</sst>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B2545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2545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0"/>
  </cols>
  <sheetData>
    <row r="1" customFormat="false" ht="16.15" hidden="false" customHeight="fals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3" t="s">
        <v>2</v>
      </c>
    </row>
    <row r="5" customFormat="false" ht="30" hidden="false" customHeight="true" outlineLevel="0" collapsed="false">
      <c r="A5" s="2" t="s">
        <v>3</v>
      </c>
      <c r="B5" s="3" t="s">
        <v>4</v>
      </c>
    </row>
    <row r="7" customFormat="false" ht="30" hidden="false" customHeight="true" outlineLevel="0" collapsed="false">
      <c r="A7" s="2" t="s">
        <v>5</v>
      </c>
      <c r="B7" s="3" t="s">
        <v>6</v>
      </c>
    </row>
    <row r="9" customFormat="false" ht="30" hidden="false" customHeight="true" outlineLevel="0" collapsed="false">
      <c r="A9" s="2" t="s">
        <v>7</v>
      </c>
      <c r="B9" s="3" t="s">
        <v>8</v>
      </c>
    </row>
    <row r="11" customFormat="false" ht="30" hidden="false" customHeight="true" outlineLevel="0" collapsed="false">
      <c r="A11" s="2" t="s">
        <v>9</v>
      </c>
      <c r="B11" s="3" t="s">
        <v>10</v>
      </c>
    </row>
    <row r="13" customFormat="false" ht="30" hidden="false" customHeight="true" outlineLevel="0" collapsed="false">
      <c r="A13" s="2" t="s">
        <v>11</v>
      </c>
      <c r="B13" s="3" t="s">
        <v>12</v>
      </c>
    </row>
    <row r="15" customFormat="false" ht="30" hidden="false" customHeight="true" outlineLevel="0" collapsed="false">
      <c r="A15" s="2" t="s">
        <v>13</v>
      </c>
      <c r="B15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3"/>
  </cols>
  <sheetData>
    <row r="1" customFormat="false" ht="15" hidden="false" customHeight="false" outlineLevel="0" collapsed="false">
      <c r="A1" s="4" t="s">
        <v>15</v>
      </c>
    </row>
    <row r="2" customFormat="false" ht="15" hidden="false" customHeight="false" outlineLevel="0" collapsed="false">
      <c r="A2" s="5" t="s">
        <v>16</v>
      </c>
    </row>
    <row r="4" customFormat="false" ht="15" hidden="false" customHeight="false" outlineLevel="0" collapsed="false">
      <c r="A4" s="6" t="s">
        <v>17</v>
      </c>
      <c r="B4" s="6" t="n">
        <v>12</v>
      </c>
      <c r="C4" s="6" t="n">
        <v>24</v>
      </c>
      <c r="D4" s="6" t="n">
        <v>36</v>
      </c>
      <c r="E4" s="6" t="n">
        <v>48</v>
      </c>
      <c r="F4" s="6" t="n">
        <v>60</v>
      </c>
      <c r="G4" s="6" t="n">
        <v>72</v>
      </c>
      <c r="H4" s="6" t="n">
        <v>84</v>
      </c>
      <c r="I4" s="6" t="n">
        <v>96</v>
      </c>
      <c r="J4" s="6" t="n">
        <v>108</v>
      </c>
      <c r="K4" s="6" t="n">
        <v>120</v>
      </c>
    </row>
    <row r="5" customFormat="false" ht="15" hidden="false" customHeight="false" outlineLevel="0" collapsed="false">
      <c r="A5" s="2" t="n">
        <v>2001</v>
      </c>
      <c r="B5" s="7" t="n">
        <v>357848</v>
      </c>
      <c r="C5" s="7" t="n">
        <v>1124788</v>
      </c>
      <c r="D5" s="7" t="n">
        <v>1735330</v>
      </c>
      <c r="E5" s="7" t="n">
        <v>2218270</v>
      </c>
      <c r="F5" s="7" t="n">
        <v>2745596</v>
      </c>
      <c r="G5" s="7" t="n">
        <v>3319994</v>
      </c>
      <c r="H5" s="7" t="n">
        <v>3466336</v>
      </c>
      <c r="I5" s="7" t="n">
        <v>3606286</v>
      </c>
      <c r="J5" s="7" t="n">
        <v>3833515</v>
      </c>
      <c r="K5" s="7" t="n">
        <v>3901463</v>
      </c>
    </row>
    <row r="6" customFormat="false" ht="15" hidden="false" customHeight="false" outlineLevel="0" collapsed="false">
      <c r="A6" s="2" t="n">
        <v>2002</v>
      </c>
      <c r="B6" s="7" t="n">
        <v>352118</v>
      </c>
      <c r="C6" s="7" t="n">
        <v>1236139</v>
      </c>
      <c r="D6" s="7" t="n">
        <v>2170033</v>
      </c>
      <c r="E6" s="7" t="n">
        <v>3353322</v>
      </c>
      <c r="F6" s="7" t="n">
        <v>3799067</v>
      </c>
      <c r="G6" s="7" t="n">
        <v>4120063</v>
      </c>
      <c r="H6" s="7" t="n">
        <v>4647867</v>
      </c>
      <c r="I6" s="7" t="n">
        <v>4914039</v>
      </c>
      <c r="J6" s="7" t="n">
        <v>5339085</v>
      </c>
      <c r="K6" s="8"/>
    </row>
    <row r="7" customFormat="false" ht="15" hidden="false" customHeight="false" outlineLevel="0" collapsed="false">
      <c r="A7" s="2" t="n">
        <v>2003</v>
      </c>
      <c r="B7" s="7" t="n">
        <v>290507</v>
      </c>
      <c r="C7" s="7" t="n">
        <v>1292306</v>
      </c>
      <c r="D7" s="7" t="n">
        <v>2218525</v>
      </c>
      <c r="E7" s="7" t="n">
        <v>3235179</v>
      </c>
      <c r="F7" s="7" t="n">
        <v>3985995</v>
      </c>
      <c r="G7" s="7" t="n">
        <v>4132918</v>
      </c>
      <c r="H7" s="7" t="n">
        <v>4628910</v>
      </c>
      <c r="I7" s="7" t="n">
        <v>4909315</v>
      </c>
      <c r="J7" s="8"/>
      <c r="K7" s="8"/>
    </row>
    <row r="8" customFormat="false" ht="15" hidden="false" customHeight="false" outlineLevel="0" collapsed="false">
      <c r="A8" s="2" t="n">
        <v>2004</v>
      </c>
      <c r="B8" s="7" t="n">
        <v>310608</v>
      </c>
      <c r="C8" s="7" t="n">
        <v>1418858</v>
      </c>
      <c r="D8" s="7" t="n">
        <v>2195047</v>
      </c>
      <c r="E8" s="7" t="n">
        <v>3757447</v>
      </c>
      <c r="F8" s="7" t="n">
        <v>4029929</v>
      </c>
      <c r="G8" s="7" t="n">
        <v>4381982</v>
      </c>
      <c r="H8" s="7" t="n">
        <v>4588268</v>
      </c>
      <c r="I8" s="8"/>
      <c r="J8" s="8"/>
      <c r="K8" s="8"/>
    </row>
    <row r="9" customFormat="false" ht="15" hidden="false" customHeight="false" outlineLevel="0" collapsed="false">
      <c r="A9" s="2" t="n">
        <v>2005</v>
      </c>
      <c r="B9" s="7" t="n">
        <v>443160</v>
      </c>
      <c r="C9" s="7" t="n">
        <v>1136350</v>
      </c>
      <c r="D9" s="7" t="n">
        <v>2128333</v>
      </c>
      <c r="E9" s="7" t="n">
        <v>2897821</v>
      </c>
      <c r="F9" s="7" t="n">
        <v>3402672</v>
      </c>
      <c r="G9" s="7" t="n">
        <v>3873311</v>
      </c>
      <c r="H9" s="8"/>
      <c r="I9" s="8"/>
      <c r="J9" s="8"/>
      <c r="K9" s="8"/>
    </row>
    <row r="10" customFormat="false" ht="15" hidden="false" customHeight="false" outlineLevel="0" collapsed="false">
      <c r="A10" s="2" t="n">
        <v>2006</v>
      </c>
      <c r="B10" s="7" t="n">
        <v>396132</v>
      </c>
      <c r="C10" s="7" t="n">
        <v>1333217</v>
      </c>
      <c r="D10" s="7" t="n">
        <v>2180715</v>
      </c>
      <c r="E10" s="7" t="n">
        <v>2985752</v>
      </c>
      <c r="F10" s="7" t="n">
        <v>3691712</v>
      </c>
      <c r="G10" s="8"/>
      <c r="H10" s="8"/>
      <c r="I10" s="8"/>
      <c r="J10" s="8"/>
      <c r="K10" s="8"/>
    </row>
    <row r="11" customFormat="false" ht="15" hidden="false" customHeight="false" outlineLevel="0" collapsed="false">
      <c r="A11" s="2" t="n">
        <v>2007</v>
      </c>
      <c r="B11" s="7" t="n">
        <v>440832</v>
      </c>
      <c r="C11" s="7" t="n">
        <v>1288463</v>
      </c>
      <c r="D11" s="7" t="n">
        <v>2419861</v>
      </c>
      <c r="E11" s="7" t="n">
        <v>3483130</v>
      </c>
      <c r="F11" s="8"/>
      <c r="G11" s="8"/>
      <c r="H11" s="8"/>
      <c r="I11" s="8"/>
      <c r="J11" s="8"/>
      <c r="K11" s="8"/>
    </row>
    <row r="12" customFormat="false" ht="15" hidden="false" customHeight="false" outlineLevel="0" collapsed="false">
      <c r="A12" s="2" t="n">
        <v>2008</v>
      </c>
      <c r="B12" s="7" t="n">
        <v>359480</v>
      </c>
      <c r="C12" s="7" t="n">
        <v>1421128</v>
      </c>
      <c r="D12" s="7" t="n">
        <v>2864498</v>
      </c>
      <c r="E12" s="8"/>
      <c r="F12" s="8"/>
      <c r="G12" s="8"/>
      <c r="H12" s="8"/>
      <c r="I12" s="8"/>
      <c r="J12" s="8"/>
      <c r="K12" s="8"/>
    </row>
    <row r="13" customFormat="false" ht="15" hidden="false" customHeight="false" outlineLevel="0" collapsed="false">
      <c r="A13" s="2" t="n">
        <v>2009</v>
      </c>
      <c r="B13" s="7" t="n">
        <v>376686</v>
      </c>
      <c r="C13" s="7" t="n">
        <v>1363294</v>
      </c>
      <c r="D13" s="8"/>
      <c r="E13" s="8"/>
      <c r="F13" s="8"/>
      <c r="G13" s="8"/>
      <c r="H13" s="8"/>
      <c r="I13" s="8"/>
      <c r="J13" s="8"/>
      <c r="K13" s="8"/>
    </row>
    <row r="14" customFormat="false" ht="15" hidden="false" customHeight="false" outlineLevel="0" collapsed="false">
      <c r="A14" s="2" t="n">
        <v>2010</v>
      </c>
      <c r="B14" s="7" t="n">
        <v>344014</v>
      </c>
      <c r="C14" s="8"/>
      <c r="D14" s="8"/>
      <c r="E14" s="8"/>
      <c r="F14" s="8"/>
      <c r="G14" s="8"/>
      <c r="H14" s="8"/>
      <c r="I14" s="8"/>
      <c r="J14" s="8"/>
      <c r="K14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4" t="s">
        <v>18</v>
      </c>
    </row>
    <row r="2" customFormat="false" ht="15" hidden="false" customHeight="false" outlineLevel="0" collapsed="false">
      <c r="A2" s="5" t="s">
        <v>19</v>
      </c>
    </row>
    <row r="4" customFormat="false" ht="15" hidden="false" customHeight="false" outlineLevel="0" collapsed="false">
      <c r="A4" s="6" t="s">
        <v>20</v>
      </c>
      <c r="B4" s="6" t="s">
        <v>21</v>
      </c>
    </row>
    <row r="5" customFormat="false" ht="15" hidden="false" customHeight="false" outlineLevel="0" collapsed="false">
      <c r="A5" s="9" t="s">
        <v>22</v>
      </c>
      <c r="B5" s="10" t="n">
        <f aca="false">SUMPRODUCT(ISNUMBER(Triangle_Brut!C5:C14)*Triangle_Brut!C5:C14)/SUMPRODUCT(ISNUMBER(Triangle_Brut!C5:C14)*Triangle_Brut!B5:B14)</f>
        <v>3.49060654793229</v>
      </c>
    </row>
    <row r="6" customFormat="false" ht="15" hidden="false" customHeight="false" outlineLevel="0" collapsed="false">
      <c r="A6" s="9" t="s">
        <v>23</v>
      </c>
      <c r="B6" s="10" t="n">
        <f aca="false">SUMPRODUCT(ISNUMBER(Triangle_Brut!D5:D14)*Triangle_Brut!D5:D14)/SUMPRODUCT(ISNUMBER(Triangle_Brut!D5:D14)*Triangle_Brut!C5:C14)</f>
        <v>1.74733264210049</v>
      </c>
    </row>
    <row r="7" customFormat="false" ht="15" hidden="false" customHeight="false" outlineLevel="0" collapsed="false">
      <c r="A7" s="9" t="s">
        <v>24</v>
      </c>
      <c r="B7" s="10" t="n">
        <f aca="false">SUMPRODUCT(ISNUMBER(Triangle_Brut!E5:E14)*Triangle_Brut!E5:E14)/SUMPRODUCT(ISNUMBER(Triangle_Brut!E5:E14)*Triangle_Brut!D5:D14)</f>
        <v>1.45741283601824</v>
      </c>
    </row>
    <row r="8" customFormat="false" ht="15" hidden="false" customHeight="false" outlineLevel="0" collapsed="false">
      <c r="A8" s="9" t="s">
        <v>25</v>
      </c>
      <c r="B8" s="10" t="n">
        <f aca="false">SUMPRODUCT(ISNUMBER(Triangle_Brut!F5:F14)*Triangle_Brut!F5:F14)/SUMPRODUCT(ISNUMBER(Triangle_Brut!F5:F14)*Triangle_Brut!E5:E14)</f>
        <v>1.17385170939979</v>
      </c>
    </row>
    <row r="9" customFormat="false" ht="15" hidden="false" customHeight="false" outlineLevel="0" collapsed="false">
      <c r="A9" s="9" t="s">
        <v>26</v>
      </c>
      <c r="B9" s="10" t="n">
        <f aca="false">SUMPRODUCT(ISNUMBER(Triangle_Brut!G5:G14)*Triangle_Brut!G5:G14)/SUMPRODUCT(ISNUMBER(Triangle_Brut!G5:G14)*Triangle_Brut!F5:F14)</f>
        <v>1.10382353224434</v>
      </c>
    </row>
    <row r="10" customFormat="false" ht="15" hidden="false" customHeight="false" outlineLevel="0" collapsed="false">
      <c r="A10" s="9" t="s">
        <v>27</v>
      </c>
      <c r="B10" s="10" t="n">
        <f aca="false">SUMPRODUCT(ISNUMBER(Triangle_Brut!H5:H14)*Triangle_Brut!H5:H14)/SUMPRODUCT(ISNUMBER(Triangle_Brut!H5:H14)*Triangle_Brut!G5:G14)</f>
        <v>1.08626936443639</v>
      </c>
    </row>
    <row r="11" customFormat="false" ht="15" hidden="false" customHeight="false" outlineLevel="0" collapsed="false">
      <c r="A11" s="9" t="s">
        <v>28</v>
      </c>
      <c r="B11" s="10" t="n">
        <f aca="false">SUMPRODUCT(ISNUMBER(Triangle_Brut!I5:I14)*Triangle_Brut!I5:I14)/SUMPRODUCT(ISNUMBER(Triangle_Brut!I5:I14)*Triangle_Brut!H5:H14)</f>
        <v>1.05387435550481</v>
      </c>
    </row>
    <row r="12" customFormat="false" ht="15" hidden="false" customHeight="false" outlineLevel="0" collapsed="false">
      <c r="A12" s="9" t="s">
        <v>29</v>
      </c>
      <c r="B12" s="10" t="n">
        <f aca="false">SUMPRODUCT(ISNUMBER(Triangle_Brut!J5:J14)*Triangle_Brut!J5:J14)/SUMPRODUCT(ISNUMBER(Triangle_Brut!J5:J14)*Triangle_Brut!I5:I14)</f>
        <v>1.07655517835294</v>
      </c>
    </row>
    <row r="13" customFormat="false" ht="15" hidden="false" customHeight="false" outlineLevel="0" collapsed="false">
      <c r="A13" s="9" t="s">
        <v>30</v>
      </c>
      <c r="B13" s="10" t="n">
        <f aca="false">SUMPRODUCT(ISNUMBER(Triangle_Brut!K5:K14)*Triangle_Brut!K5:K14)/SUMPRODUCT(ISNUMBER(Triangle_Brut!K5:K14)*Triangle_Brut!J5:J14)</f>
        <v>1.01772472521954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3"/>
  </cols>
  <sheetData>
    <row r="1" customFormat="false" ht="15" hidden="false" customHeight="false" outlineLevel="0" collapsed="false">
      <c r="A1" s="4" t="s">
        <v>31</v>
      </c>
    </row>
    <row r="2" customFormat="false" ht="15" hidden="false" customHeight="false" outlineLevel="0" collapsed="false">
      <c r="A2" s="5" t="s">
        <v>32</v>
      </c>
    </row>
    <row r="4" customFormat="false" ht="15" hidden="false" customHeight="false" outlineLevel="0" collapsed="false">
      <c r="A4" s="6" t="s">
        <v>17</v>
      </c>
      <c r="B4" s="6" t="n">
        <v>12</v>
      </c>
      <c r="C4" s="6" t="n">
        <v>24</v>
      </c>
      <c r="D4" s="6" t="n">
        <v>36</v>
      </c>
      <c r="E4" s="6" t="n">
        <v>48</v>
      </c>
      <c r="F4" s="6" t="n">
        <v>60</v>
      </c>
      <c r="G4" s="6" t="n">
        <v>72</v>
      </c>
      <c r="H4" s="6" t="n">
        <v>84</v>
      </c>
      <c r="I4" s="6" t="n">
        <v>96</v>
      </c>
      <c r="J4" s="6" t="n">
        <v>108</v>
      </c>
      <c r="K4" s="6" t="n">
        <v>120</v>
      </c>
    </row>
    <row r="5" customFormat="false" ht="15" hidden="false" customHeight="false" outlineLevel="0" collapsed="false">
      <c r="A5" s="2" t="n">
        <v>2001</v>
      </c>
      <c r="B5" s="11" t="n">
        <f aca="false">Triangle_Brut!B5</f>
        <v>357848</v>
      </c>
      <c r="C5" s="11" t="n">
        <f aca="false">IF(Triangle_Brut!C5&lt;&gt;"",Triangle_Brut!C5,B5*Link_Ratios!$B$5)</f>
        <v>1124788</v>
      </c>
      <c r="D5" s="11" t="n">
        <f aca="false">IF(Triangle_Brut!D5&lt;&gt;"",Triangle_Brut!D5,C5*Link_Ratios!$B$6)</f>
        <v>1735330</v>
      </c>
      <c r="E5" s="11" t="n">
        <f aca="false">IF(Triangle_Brut!E5&lt;&gt;"",Triangle_Brut!E5,D5*Link_Ratios!$B$7)</f>
        <v>2218270</v>
      </c>
      <c r="F5" s="11" t="n">
        <f aca="false">IF(Triangle_Brut!F5&lt;&gt;"",Triangle_Brut!F5,E5*Link_Ratios!$B$8)</f>
        <v>2745596</v>
      </c>
      <c r="G5" s="11" t="n">
        <f aca="false">IF(Triangle_Brut!G5&lt;&gt;"",Triangle_Brut!G5,F5*Link_Ratios!$B$9)</f>
        <v>3319994</v>
      </c>
      <c r="H5" s="11" t="n">
        <f aca="false">IF(Triangle_Brut!H5&lt;&gt;"",Triangle_Brut!H5,G5*Link_Ratios!$B$10)</f>
        <v>3466336</v>
      </c>
      <c r="I5" s="11" t="n">
        <f aca="false">IF(Triangle_Brut!I5&lt;&gt;"",Triangle_Brut!I5,H5*Link_Ratios!$B$11)</f>
        <v>3606286</v>
      </c>
      <c r="J5" s="11" t="n">
        <f aca="false">IF(Triangle_Brut!J5&lt;&gt;"",Triangle_Brut!J5,I5*Link_Ratios!$B$12)</f>
        <v>3833515</v>
      </c>
      <c r="K5" s="11" t="n">
        <f aca="false">IF(Triangle_Brut!K5&lt;&gt;"",Triangle_Brut!K5,J5*Link_Ratios!$B$13)</f>
        <v>3901463</v>
      </c>
    </row>
    <row r="6" customFormat="false" ht="15" hidden="false" customHeight="false" outlineLevel="0" collapsed="false">
      <c r="A6" s="2" t="n">
        <v>2002</v>
      </c>
      <c r="B6" s="11" t="n">
        <f aca="false">Triangle_Brut!B6</f>
        <v>352118</v>
      </c>
      <c r="C6" s="11" t="n">
        <f aca="false">IF(Triangle_Brut!C6&lt;&gt;"",Triangle_Brut!C6,B6*Link_Ratios!$B$5)</f>
        <v>1236139</v>
      </c>
      <c r="D6" s="11" t="n">
        <f aca="false">IF(Triangle_Brut!D6&lt;&gt;"",Triangle_Brut!D6,C6*Link_Ratios!$B$6)</f>
        <v>2170033</v>
      </c>
      <c r="E6" s="11" t="n">
        <f aca="false">IF(Triangle_Brut!E6&lt;&gt;"",Triangle_Brut!E6,D6*Link_Ratios!$B$7)</f>
        <v>3353322</v>
      </c>
      <c r="F6" s="11" t="n">
        <f aca="false">IF(Triangle_Brut!F6&lt;&gt;"",Triangle_Brut!F6,E6*Link_Ratios!$B$8)</f>
        <v>3799067</v>
      </c>
      <c r="G6" s="11" t="n">
        <f aca="false">IF(Triangle_Brut!G6&lt;&gt;"",Triangle_Brut!G6,F6*Link_Ratios!$B$9)</f>
        <v>4120063</v>
      </c>
      <c r="H6" s="11" t="n">
        <f aca="false">IF(Triangle_Brut!H6&lt;&gt;"",Triangle_Brut!H6,G6*Link_Ratios!$B$10)</f>
        <v>4647867</v>
      </c>
      <c r="I6" s="11" t="n">
        <f aca="false">IF(Triangle_Brut!I6&lt;&gt;"",Triangle_Brut!I6,H6*Link_Ratios!$B$11)</f>
        <v>4914039</v>
      </c>
      <c r="J6" s="11" t="n">
        <f aca="false">IF(Triangle_Brut!J6&lt;&gt;"",Triangle_Brut!J6,I6*Link_Ratios!$B$12)</f>
        <v>5339085</v>
      </c>
      <c r="K6" s="11" t="n">
        <f aca="false">IF(Triangle_Brut!K6&lt;&gt;"",Triangle_Brut!K6,J6*Link_Ratios!$B$13)</f>
        <v>5433718.81454879</v>
      </c>
    </row>
    <row r="7" customFormat="false" ht="15" hidden="false" customHeight="false" outlineLevel="0" collapsed="false">
      <c r="A7" s="2" t="n">
        <v>2003</v>
      </c>
      <c r="B7" s="11" t="n">
        <f aca="false">Triangle_Brut!B7</f>
        <v>290507</v>
      </c>
      <c r="C7" s="11" t="n">
        <f aca="false">IF(Triangle_Brut!C7&lt;&gt;"",Triangle_Brut!C7,B7*Link_Ratios!$B$5)</f>
        <v>1292306</v>
      </c>
      <c r="D7" s="11" t="n">
        <f aca="false">IF(Triangle_Brut!D7&lt;&gt;"",Triangle_Brut!D7,C7*Link_Ratios!$B$6)</f>
        <v>2218525</v>
      </c>
      <c r="E7" s="11" t="n">
        <f aca="false">IF(Triangle_Brut!E7&lt;&gt;"",Triangle_Brut!E7,D7*Link_Ratios!$B$7)</f>
        <v>3235179</v>
      </c>
      <c r="F7" s="11" t="n">
        <f aca="false">IF(Triangle_Brut!F7&lt;&gt;"",Triangle_Brut!F7,E7*Link_Ratios!$B$8)</f>
        <v>3985995</v>
      </c>
      <c r="G7" s="11" t="n">
        <f aca="false">IF(Triangle_Brut!G7&lt;&gt;"",Triangle_Brut!G7,F7*Link_Ratios!$B$9)</f>
        <v>4132918</v>
      </c>
      <c r="H7" s="11" t="n">
        <f aca="false">IF(Triangle_Brut!H7&lt;&gt;"",Triangle_Brut!H7,G7*Link_Ratios!$B$10)</f>
        <v>4628910</v>
      </c>
      <c r="I7" s="11" t="n">
        <f aca="false">IF(Triangle_Brut!I7&lt;&gt;"",Triangle_Brut!I7,H7*Link_Ratios!$B$11)</f>
        <v>4909315</v>
      </c>
      <c r="J7" s="11" t="n">
        <f aca="false">IF(Triangle_Brut!J7&lt;&gt;"",Triangle_Brut!J7,I7*Link_Ratios!$B$12)</f>
        <v>5285148.48541576</v>
      </c>
      <c r="K7" s="11" t="n">
        <f aca="false">IF(Triangle_Brut!K7&lt;&gt;"",Triangle_Brut!K7,J7*Link_Ratios!$B$13)</f>
        <v>5378826.29006424</v>
      </c>
    </row>
    <row r="8" customFormat="false" ht="15" hidden="false" customHeight="false" outlineLevel="0" collapsed="false">
      <c r="A8" s="2" t="n">
        <v>2004</v>
      </c>
      <c r="B8" s="11" t="n">
        <f aca="false">Triangle_Brut!B8</f>
        <v>310608</v>
      </c>
      <c r="C8" s="11" t="n">
        <f aca="false">IF(Triangle_Brut!C8&lt;&gt;"",Triangle_Brut!C8,B8*Link_Ratios!$B$5)</f>
        <v>1418858</v>
      </c>
      <c r="D8" s="11" t="n">
        <f aca="false">IF(Triangle_Brut!D8&lt;&gt;"",Triangle_Brut!D8,C8*Link_Ratios!$B$6)</f>
        <v>2195047</v>
      </c>
      <c r="E8" s="11" t="n">
        <f aca="false">IF(Triangle_Brut!E8&lt;&gt;"",Triangle_Brut!E8,D8*Link_Ratios!$B$7)</f>
        <v>3757447</v>
      </c>
      <c r="F8" s="11" t="n">
        <f aca="false">IF(Triangle_Brut!F8&lt;&gt;"",Triangle_Brut!F8,E8*Link_Ratios!$B$8)</f>
        <v>4029929</v>
      </c>
      <c r="G8" s="11" t="n">
        <f aca="false">IF(Triangle_Brut!G8&lt;&gt;"",Triangle_Brut!G8,F8*Link_Ratios!$B$9)</f>
        <v>4381982</v>
      </c>
      <c r="H8" s="11" t="n">
        <f aca="false">IF(Triangle_Brut!H8&lt;&gt;"",Triangle_Brut!H8,G8*Link_Ratios!$B$10)</f>
        <v>4588268</v>
      </c>
      <c r="I8" s="11" t="n">
        <f aca="false">IF(Triangle_Brut!I8&lt;&gt;"",Triangle_Brut!I8,H8*Link_Ratios!$B$11)</f>
        <v>4835457.98138336</v>
      </c>
      <c r="J8" s="11" t="n">
        <f aca="false">IF(Triangle_Brut!J8&lt;&gt;"",Triangle_Brut!J8,I8*Link_Ratios!$B$12)</f>
        <v>5205637.3295663</v>
      </c>
      <c r="K8" s="11" t="n">
        <f aca="false">IF(Triangle_Brut!K8&lt;&gt;"",Triangle_Brut!K8,J8*Link_Ratios!$B$13)</f>
        <v>5297905.82082546</v>
      </c>
    </row>
    <row r="9" customFormat="false" ht="15" hidden="false" customHeight="false" outlineLevel="0" collapsed="false">
      <c r="A9" s="2" t="n">
        <v>2005</v>
      </c>
      <c r="B9" s="11" t="n">
        <f aca="false">Triangle_Brut!B9</f>
        <v>443160</v>
      </c>
      <c r="C9" s="11" t="n">
        <f aca="false">IF(Triangle_Brut!C9&lt;&gt;"",Triangle_Brut!C9,B9*Link_Ratios!$B$5)</f>
        <v>1136350</v>
      </c>
      <c r="D9" s="11" t="n">
        <f aca="false">IF(Triangle_Brut!D9&lt;&gt;"",Triangle_Brut!D9,C9*Link_Ratios!$B$6)</f>
        <v>2128333</v>
      </c>
      <c r="E9" s="11" t="n">
        <f aca="false">IF(Triangle_Brut!E9&lt;&gt;"",Triangle_Brut!E9,D9*Link_Ratios!$B$7)</f>
        <v>2897821</v>
      </c>
      <c r="F9" s="11" t="n">
        <f aca="false">IF(Triangle_Brut!F9&lt;&gt;"",Triangle_Brut!F9,E9*Link_Ratios!$B$8)</f>
        <v>3402672</v>
      </c>
      <c r="G9" s="11" t="n">
        <f aca="false">IF(Triangle_Brut!G9&lt;&gt;"",Triangle_Brut!G9,F9*Link_Ratios!$B$9)</f>
        <v>3873311</v>
      </c>
      <c r="H9" s="11" t="n">
        <f aca="false">IF(Triangle_Brut!H9&lt;&gt;"",Triangle_Brut!H9,G9*Link_Ratios!$B$10)</f>
        <v>4207459.0782345</v>
      </c>
      <c r="I9" s="11" t="n">
        <f aca="false">IF(Triangle_Brut!I9&lt;&gt;"",Triangle_Brut!I9,H9*Link_Ratios!$B$11)</f>
        <v>4434133.22438725</v>
      </c>
      <c r="J9" s="11" t="n">
        <f aca="false">IF(Triangle_Brut!J9&lt;&gt;"",Triangle_Brut!J9,I9*Link_Ratios!$B$12)</f>
        <v>4773589.08422091</v>
      </c>
      <c r="K9" s="11" t="n">
        <f aca="false">IF(Triangle_Brut!K9&lt;&gt;"",Triangle_Brut!K9,J9*Link_Ratios!$B$13)</f>
        <v>4858199.63904974</v>
      </c>
    </row>
    <row r="10" customFormat="false" ht="15" hidden="false" customHeight="false" outlineLevel="0" collapsed="false">
      <c r="A10" s="2" t="n">
        <v>2006</v>
      </c>
      <c r="B10" s="11" t="n">
        <f aca="false">Triangle_Brut!B10</f>
        <v>396132</v>
      </c>
      <c r="C10" s="11" t="n">
        <f aca="false">IF(Triangle_Brut!C10&lt;&gt;"",Triangle_Brut!C10,B10*Link_Ratios!$B$5)</f>
        <v>1333217</v>
      </c>
      <c r="D10" s="11" t="n">
        <f aca="false">IF(Triangle_Brut!D10&lt;&gt;"",Triangle_Brut!D10,C10*Link_Ratios!$B$6)</f>
        <v>2180715</v>
      </c>
      <c r="E10" s="11" t="n">
        <f aca="false">IF(Triangle_Brut!E10&lt;&gt;"",Triangle_Brut!E10,D10*Link_Ratios!$B$7)</f>
        <v>2985752</v>
      </c>
      <c r="F10" s="11" t="n">
        <f aca="false">IF(Triangle_Brut!F10&lt;&gt;"",Triangle_Brut!F10,E10*Link_Ratios!$B$8)</f>
        <v>3691712</v>
      </c>
      <c r="G10" s="11" t="n">
        <f aca="false">IF(Triangle_Brut!G10&lt;&gt;"",Triangle_Brut!G10,F10*Link_Ratios!$B$9)</f>
        <v>4074998.57986883</v>
      </c>
      <c r="H10" s="11" t="n">
        <f aca="false">IF(Triangle_Brut!H10&lt;&gt;"",Triangle_Brut!H10,G10*Link_Ratios!$B$10)</f>
        <v>4426546.11743332</v>
      </c>
      <c r="I10" s="11" t="n">
        <f aca="false">IF(Triangle_Brut!I10&lt;&gt;"",Triangle_Brut!I10,H10*Link_Ratios!$B$11)</f>
        <v>4665023.43662238</v>
      </c>
      <c r="J10" s="11" t="n">
        <f aca="false">IF(Triangle_Brut!J10&lt;&gt;"",Triangle_Brut!J10,I10*Link_Ratios!$B$12)</f>
        <v>5022155.13783364</v>
      </c>
      <c r="K10" s="11" t="n">
        <f aca="false">IF(Triangle_Brut!K10&lt;&gt;"",Triangle_Brut!K10,J10*Link_Ratios!$B$13)</f>
        <v>5111171.45766166</v>
      </c>
    </row>
    <row r="11" customFormat="false" ht="15" hidden="false" customHeight="false" outlineLevel="0" collapsed="false">
      <c r="A11" s="2" t="n">
        <v>2007</v>
      </c>
      <c r="B11" s="11" t="n">
        <f aca="false">Triangle_Brut!B11</f>
        <v>440832</v>
      </c>
      <c r="C11" s="11" t="n">
        <f aca="false">IF(Triangle_Brut!C11&lt;&gt;"",Triangle_Brut!C11,B11*Link_Ratios!$B$5)</f>
        <v>1288463</v>
      </c>
      <c r="D11" s="11" t="n">
        <f aca="false">IF(Triangle_Brut!D11&lt;&gt;"",Triangle_Brut!D11,C11*Link_Ratios!$B$6)</f>
        <v>2419861</v>
      </c>
      <c r="E11" s="11" t="n">
        <f aca="false">IF(Triangle_Brut!E11&lt;&gt;"",Triangle_Brut!E11,D11*Link_Ratios!$B$7)</f>
        <v>3483130</v>
      </c>
      <c r="F11" s="11" t="n">
        <f aca="false">IF(Triangle_Brut!F11&lt;&gt;"",Triangle_Brut!F11,E11*Link_Ratios!$B$8)</f>
        <v>4088678.10456168</v>
      </c>
      <c r="G11" s="11" t="n">
        <f aca="false">IF(Triangle_Brut!G11&lt;&gt;"",Triangle_Brut!G11,F11*Link_Ratios!$B$9)</f>
        <v>4513179.10758738</v>
      </c>
      <c r="H11" s="11" t="n">
        <f aca="false">IF(Triangle_Brut!H11&lt;&gt;"",Triangle_Brut!H11,G11*Link_Ratios!$B$10)</f>
        <v>4902528.20078656</v>
      </c>
      <c r="I11" s="11" t="n">
        <f aca="false">IF(Triangle_Brut!I11&lt;&gt;"",Triangle_Brut!I11,H11*Link_Ratios!$B$11)</f>
        <v>5166648.7479481</v>
      </c>
      <c r="J11" s="11" t="n">
        <f aca="false">IF(Triangle_Brut!J11&lt;&gt;"",Triangle_Brut!J11,I11*Link_Ratios!$B$12)</f>
        <v>5562182.46433426</v>
      </c>
      <c r="K11" s="11" t="n">
        <f aca="false">IF(Triangle_Brut!K11&lt;&gt;"",Triangle_Brut!K11,J11*Link_Ratios!$B$13)</f>
        <v>5660770.62013555</v>
      </c>
    </row>
    <row r="12" customFormat="false" ht="15" hidden="false" customHeight="false" outlineLevel="0" collapsed="false">
      <c r="A12" s="2" t="n">
        <v>2008</v>
      </c>
      <c r="B12" s="11" t="n">
        <f aca="false">Triangle_Brut!B12</f>
        <v>359480</v>
      </c>
      <c r="C12" s="11" t="n">
        <f aca="false">IF(Triangle_Brut!C12&lt;&gt;"",Triangle_Brut!C12,B12*Link_Ratios!$B$5)</f>
        <v>1421128</v>
      </c>
      <c r="D12" s="11" t="n">
        <f aca="false">IF(Triangle_Brut!D12&lt;&gt;"",Triangle_Brut!D12,C12*Link_Ratios!$B$6)</f>
        <v>2864498</v>
      </c>
      <c r="E12" s="11" t="n">
        <f aca="false">IF(Triangle_Brut!E12&lt;&gt;"",Triangle_Brut!E12,D12*Link_Ratios!$B$7)</f>
        <v>4174756.15394857</v>
      </c>
      <c r="F12" s="11" t="n">
        <f aca="false">IF(Triangle_Brut!F12&lt;&gt;"",Triangle_Brut!F12,E12*Link_Ratios!$B$8)</f>
        <v>4900544.6476398</v>
      </c>
      <c r="G12" s="11" t="n">
        <f aca="false">IF(Triangle_Brut!G12&lt;&gt;"",Triangle_Brut!G12,F12*Link_Ratios!$B$9)</f>
        <v>5409336.50287888</v>
      </c>
      <c r="H12" s="11" t="n">
        <f aca="false">IF(Triangle_Brut!H12&lt;&gt;"",Triangle_Brut!H12,G12*Link_Ratios!$B$10)</f>
        <v>5875996.52500483</v>
      </c>
      <c r="I12" s="11" t="n">
        <f aca="false">IF(Triangle_Brut!I12&lt;&gt;"",Triangle_Brut!I12,H12*Link_Ratios!$B$11)</f>
        <v>6192562.05073798</v>
      </c>
      <c r="J12" s="11" t="n">
        <f aca="false">IF(Triangle_Brut!J12&lt;&gt;"",Triangle_Brut!J12,I12*Link_Ratios!$B$12)</f>
        <v>6666634.74299387</v>
      </c>
      <c r="K12" s="11" t="n">
        <f aca="false">IF(Triangle_Brut!K12&lt;&gt;"",Triangle_Brut!K12,J12*Link_Ratios!$B$13)</f>
        <v>6784799.0119525</v>
      </c>
    </row>
    <row r="13" customFormat="false" ht="15" hidden="false" customHeight="false" outlineLevel="0" collapsed="false">
      <c r="A13" s="2" t="n">
        <v>2009</v>
      </c>
      <c r="B13" s="11" t="n">
        <f aca="false">Triangle_Brut!B13</f>
        <v>376686</v>
      </c>
      <c r="C13" s="11" t="n">
        <f aca="false">IF(Triangle_Brut!C13&lt;&gt;"",Triangle_Brut!C13,B13*Link_Ratios!$B$5)</f>
        <v>1363294</v>
      </c>
      <c r="D13" s="11" t="n">
        <f aca="false">IF(Triangle_Brut!D13&lt;&gt;"",Triangle_Brut!D13,C13*Link_Ratios!$B$6)</f>
        <v>2382128.10697974</v>
      </c>
      <c r="E13" s="11" t="n">
        <f aca="false">IF(Triangle_Brut!E13&lt;&gt;"",Triangle_Brut!E13,D13*Link_Ratios!$B$7)</f>
        <v>3471744.0801521</v>
      </c>
      <c r="F13" s="11" t="n">
        <f aca="false">IF(Triangle_Brut!F13&lt;&gt;"",Triangle_Brut!F13,E13*Link_Ratios!$B$8)</f>
        <v>4075312.72308513</v>
      </c>
      <c r="G13" s="11" t="n">
        <f aca="false">IF(Triangle_Brut!G13&lt;&gt;"",Triangle_Brut!G13,F13*Link_Ratios!$B$9)</f>
        <v>4498426.08499615</v>
      </c>
      <c r="H13" s="11" t="n">
        <f aca="false">IF(Triangle_Brut!H13&lt;&gt;"",Triangle_Brut!H13,G13*Link_Ratios!$B$10)</f>
        <v>4886502.44431286</v>
      </c>
      <c r="I13" s="11" t="n">
        <f aca="false">IF(Triangle_Brut!I13&lt;&gt;"",Triangle_Brut!I13,H13*Link_Ratios!$B$11)</f>
        <v>5149759.61417291</v>
      </c>
      <c r="J13" s="11" t="n">
        <f aca="false">IF(Triangle_Brut!J13&lt;&gt;"",Triangle_Brut!J13,I13*Link_Ratios!$B$12)</f>
        <v>5544000.37991068</v>
      </c>
      <c r="K13" s="11" t="n">
        <f aca="false">IF(Triangle_Brut!K13&lt;&gt;"",Triangle_Brut!K13,J13*Link_Ratios!$B$13)</f>
        <v>5642266.26326164</v>
      </c>
    </row>
    <row r="14" customFormat="false" ht="15" hidden="false" customHeight="false" outlineLevel="0" collapsed="false">
      <c r="A14" s="2" t="n">
        <v>2010</v>
      </c>
      <c r="B14" s="11" t="n">
        <f aca="false">Triangle_Brut!B14</f>
        <v>344014</v>
      </c>
      <c r="C14" s="11" t="n">
        <f aca="false">IF(Triangle_Brut!C14&lt;&gt;"",Triangle_Brut!C14,B14*Link_Ratios!$B$5)</f>
        <v>1200817.52098038</v>
      </c>
      <c r="D14" s="11" t="n">
        <f aca="false">IF(Triangle_Brut!D14&lt;&gt;"",Triangle_Brut!D14,C14*Link_Ratios!$B$6)</f>
        <v>2098227.6516152</v>
      </c>
      <c r="E14" s="11" t="n">
        <f aca="false">IF(Triangle_Brut!E14&lt;&gt;"",Triangle_Brut!E14,D14*Link_Ratios!$B$7)</f>
        <v>3057983.9123524</v>
      </c>
      <c r="F14" s="11" t="n">
        <f aca="false">IF(Triangle_Brut!F14&lt;&gt;"",Triangle_Brut!F14,E14*Link_Ratios!$B$8)</f>
        <v>3589619.64283191</v>
      </c>
      <c r="G14" s="11" t="n">
        <f aca="false">IF(Triangle_Brut!G14&lt;&gt;"",Triangle_Brut!G14,F14*Link_Ratios!$B$9)</f>
        <v>3962306.6335644</v>
      </c>
      <c r="H14" s="11" t="n">
        <f aca="false">IF(Triangle_Brut!H14&lt;&gt;"",Triangle_Brut!H14,G14*Link_Ratios!$B$10)</f>
        <v>4304132.30854411</v>
      </c>
      <c r="I14" s="11" t="n">
        <f aca="false">IF(Triangle_Brut!I14&lt;&gt;"",Triangle_Brut!I14,H14*Link_Ratios!$B$11)</f>
        <v>4536014.66267436</v>
      </c>
      <c r="J14" s="11" t="n">
        <f aca="false">IF(Triangle_Brut!J14&lt;&gt;"",Triangle_Brut!J14,I14*Link_Ratios!$B$12)</f>
        <v>4883270.07418694</v>
      </c>
      <c r="K14" s="11" t="n">
        <f aca="false">IF(Triangle_Brut!K14&lt;&gt;"",Triangle_Brut!K14,J14*Link_Ratios!$B$13)</f>
        <v>4969824.69442473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6"/>
  </cols>
  <sheetData>
    <row r="1" customFormat="false" ht="15" hidden="false" customHeight="false" outlineLevel="0" collapsed="false">
      <c r="A1" s="4" t="s">
        <v>33</v>
      </c>
    </row>
    <row r="2" customFormat="false" ht="15" hidden="false" customHeight="false" outlineLevel="0" collapsed="false">
      <c r="A2" s="5" t="s">
        <v>34</v>
      </c>
    </row>
    <row r="4" customFormat="false" ht="15" hidden="false" customHeight="false" outlineLevel="0" collapsed="false">
      <c r="A4" s="6" t="s">
        <v>17</v>
      </c>
      <c r="B4" s="6" t="s">
        <v>35</v>
      </c>
      <c r="C4" s="6" t="s">
        <v>36</v>
      </c>
      <c r="D4" s="6" t="s">
        <v>37</v>
      </c>
    </row>
    <row r="5" customFormat="false" ht="15" hidden="false" customHeight="false" outlineLevel="0" collapsed="false">
      <c r="A5" s="2" t="n">
        <v>2001</v>
      </c>
      <c r="B5" s="12" t="n">
        <f aca="false">LOOKUP(9.99E+307,Triangle_Brut!B5:K5)</f>
        <v>3901463</v>
      </c>
      <c r="C5" s="12" t="n">
        <f aca="false">Triangle_Complete!K5</f>
        <v>3901463</v>
      </c>
      <c r="D5" s="12" t="n">
        <f aca="false">C5-B5</f>
        <v>0</v>
      </c>
    </row>
    <row r="6" customFormat="false" ht="15" hidden="false" customHeight="false" outlineLevel="0" collapsed="false">
      <c r="A6" s="2" t="n">
        <v>2002</v>
      </c>
      <c r="B6" s="12" t="n">
        <f aca="false">LOOKUP(9.99E+307,Triangle_Brut!B6:K6)</f>
        <v>5339085</v>
      </c>
      <c r="C6" s="12" t="n">
        <f aca="false">Triangle_Complete!K6</f>
        <v>5433718.81454879</v>
      </c>
      <c r="D6" s="12" t="n">
        <f aca="false">C6-B6</f>
        <v>94633.8145487895</v>
      </c>
    </row>
    <row r="7" customFormat="false" ht="15" hidden="false" customHeight="false" outlineLevel="0" collapsed="false">
      <c r="A7" s="2" t="n">
        <v>2003</v>
      </c>
      <c r="B7" s="12" t="n">
        <f aca="false">LOOKUP(9.99E+307,Triangle_Brut!B7:K7)</f>
        <v>4909315</v>
      </c>
      <c r="C7" s="12" t="n">
        <f aca="false">Triangle_Complete!K7</f>
        <v>5378826.29006424</v>
      </c>
      <c r="D7" s="12" t="n">
        <f aca="false">C7-B7</f>
        <v>469511.29006424</v>
      </c>
    </row>
    <row r="8" customFormat="false" ht="15" hidden="false" customHeight="false" outlineLevel="0" collapsed="false">
      <c r="A8" s="2" t="n">
        <v>2004</v>
      </c>
      <c r="B8" s="12" t="n">
        <f aca="false">LOOKUP(9.99E+307,Triangle_Brut!B8:K8)</f>
        <v>4588268</v>
      </c>
      <c r="C8" s="12" t="n">
        <f aca="false">Triangle_Complete!K8</f>
        <v>5297905.82082546</v>
      </c>
      <c r="D8" s="12" t="n">
        <f aca="false">C8-B8</f>
        <v>709637.820825461</v>
      </c>
    </row>
    <row r="9" customFormat="false" ht="15" hidden="false" customHeight="false" outlineLevel="0" collapsed="false">
      <c r="A9" s="2" t="n">
        <v>2005</v>
      </c>
      <c r="B9" s="12" t="n">
        <f aca="false">LOOKUP(9.99E+307,Triangle_Brut!B9:K9)</f>
        <v>3873311</v>
      </c>
      <c r="C9" s="12" t="n">
        <f aca="false">Triangle_Complete!K9</f>
        <v>4858199.63904974</v>
      </c>
      <c r="D9" s="12" t="n">
        <f aca="false">C9-B9</f>
        <v>984888.639049737</v>
      </c>
    </row>
    <row r="10" customFormat="false" ht="15" hidden="false" customHeight="false" outlineLevel="0" collapsed="false">
      <c r="A10" s="2" t="n">
        <v>2006</v>
      </c>
      <c r="B10" s="12" t="n">
        <f aca="false">LOOKUP(9.99E+307,Triangle_Brut!B10:K10)</f>
        <v>3691712</v>
      </c>
      <c r="C10" s="12" t="n">
        <f aca="false">Triangle_Complete!K10</f>
        <v>5111171.45766166</v>
      </c>
      <c r="D10" s="12" t="n">
        <f aca="false">C10-B10</f>
        <v>1419459.45766166</v>
      </c>
    </row>
    <row r="11" customFormat="false" ht="15" hidden="false" customHeight="false" outlineLevel="0" collapsed="false">
      <c r="A11" s="2" t="n">
        <v>2007</v>
      </c>
      <c r="B11" s="12" t="n">
        <f aca="false">LOOKUP(9.99E+307,Triangle_Brut!B11:K11)</f>
        <v>3483130</v>
      </c>
      <c r="C11" s="12" t="n">
        <f aca="false">Triangle_Complete!K11</f>
        <v>5660770.62013555</v>
      </c>
      <c r="D11" s="12" t="n">
        <f aca="false">C11-B11</f>
        <v>2177640.62013555</v>
      </c>
    </row>
    <row r="12" customFormat="false" ht="15" hidden="false" customHeight="false" outlineLevel="0" collapsed="false">
      <c r="A12" s="2" t="n">
        <v>2008</v>
      </c>
      <c r="B12" s="12" t="n">
        <f aca="false">LOOKUP(9.99E+307,Triangle_Brut!B12:K12)</f>
        <v>2864498</v>
      </c>
      <c r="C12" s="12" t="n">
        <f aca="false">Triangle_Complete!K12</f>
        <v>6784799.0119525</v>
      </c>
      <c r="D12" s="12" t="n">
        <f aca="false">C12-B12</f>
        <v>3920301.0119525</v>
      </c>
    </row>
    <row r="13" customFormat="false" ht="15" hidden="false" customHeight="false" outlineLevel="0" collapsed="false">
      <c r="A13" s="2" t="n">
        <v>2009</v>
      </c>
      <c r="B13" s="12" t="n">
        <f aca="false">LOOKUP(9.99E+307,Triangle_Brut!B13:K13)</f>
        <v>1363294</v>
      </c>
      <c r="C13" s="12" t="n">
        <f aca="false">Triangle_Complete!K13</f>
        <v>5642266.26326164</v>
      </c>
      <c r="D13" s="12" t="n">
        <f aca="false">C13-B13</f>
        <v>4278972.26326164</v>
      </c>
    </row>
    <row r="14" customFormat="false" ht="15" hidden="false" customHeight="false" outlineLevel="0" collapsed="false">
      <c r="A14" s="2" t="n">
        <v>2010</v>
      </c>
      <c r="B14" s="12" t="n">
        <f aca="false">LOOKUP(9.99E+307,Triangle_Brut!B14:K14)</f>
        <v>344014</v>
      </c>
      <c r="C14" s="12" t="n">
        <f aca="false">Triangle_Complete!K14</f>
        <v>4969824.69442473</v>
      </c>
      <c r="D14" s="12" t="n">
        <f aca="false">C14-B14</f>
        <v>4625810.69442473</v>
      </c>
    </row>
    <row r="15" customFormat="false" ht="15" hidden="false" customHeight="false" outlineLevel="0" collapsed="false">
      <c r="A15" s="2" t="s">
        <v>38</v>
      </c>
      <c r="B15" s="13" t="n">
        <f aca="false">SUM(B5:B14)</f>
        <v>34358090</v>
      </c>
      <c r="C15" s="13" t="n">
        <f aca="false">SUM(C5:C14)</f>
        <v>53038945.6119243</v>
      </c>
      <c r="D15" s="13" t="n">
        <f aca="false">SUM(D5:D14)</f>
        <v>18680855.6119243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2026-08-03T20:50:45Z</dcterms:created>
  <dc:creator>openpyxl</dc:creator>
  <dc:description/>
  <dc:language>en-US</dc:language>
  <cp:lastModifiedBy/>
  <dcterms:modified xsi:type="dcterms:W3CDTF">2026-08-03T20:50:45Z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